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iseki\MyDrive\Projects\matecon\sample_data\"/>
    </mc:Choice>
  </mc:AlternateContent>
  <xr:revisionPtr revIDLastSave="0" documentId="13_ncr:1_{3FB858C6-7313-47FD-ACA8-B6D9F2E32C98}" xr6:coauthVersionLast="47" xr6:coauthVersionMax="47" xr10:uidLastSave="{00000000-0000-0000-0000-000000000000}"/>
  <bookViews>
    <workbookView xWindow="10860" yWindow="0" windowWidth="17445" windowHeight="16305" tabRatio="943" firstSheet="2" activeTab="5" xr2:uid="{00000000-000D-0000-FFFF-FFFF00000000}"/>
  </bookViews>
  <sheets>
    <sheet name="#1階層が存在しないシート" sheetId="4" r:id="rId1"/>
    <sheet name="#3階層が存在しないシート" sheetId="1" r:id="rId2"/>
    <sheet name="DETAIL階層が存在しないシート (1)" sheetId="3" r:id="rId3"/>
    <sheet name="DETAIL階層が存在しないシート (2)" sheetId="5" r:id="rId4"/>
    <sheet name="BLOCK員数が不正なシート" sheetId="6" r:id="rId5"/>
    <sheet name="正常なシート" sheetId="2" r:id="rId6"/>
  </sheets>
  <definedNames>
    <definedName name="_xlnm.Print_Area" localSheetId="0">'#1階層が存在しないシート'!$B$1:$AE$50</definedName>
    <definedName name="_xlnm.Print_Area" localSheetId="1">'#3階層が存在しないシート'!$B$1:$AE$49</definedName>
    <definedName name="_xlnm.Print_Area" localSheetId="4">BLOCK員数が不正なシート!$B$1:$AE$50</definedName>
    <definedName name="_xlnm.Print_Area" localSheetId="2">'DETAIL階層が存在しないシート (1)'!$B$1:$AE$44</definedName>
    <definedName name="_xlnm.Print_Area" localSheetId="3">'DETAIL階層が存在しないシート (2)'!$B$1:$AE$49</definedName>
    <definedName name="_xlnm.Print_Area" localSheetId="5">正常なシート!$B$1:$AE$50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6" l="1"/>
  <c r="I21" i="6"/>
  <c r="E13" i="6"/>
  <c r="E14" i="6" s="1"/>
  <c r="I12" i="6"/>
  <c r="E13" i="5"/>
  <c r="E14" i="5" s="1"/>
  <c r="I12" i="5"/>
  <c r="I22" i="4"/>
  <c r="I21" i="4"/>
  <c r="E13" i="4"/>
  <c r="E14" i="4" s="1"/>
  <c r="I12" i="4"/>
  <c r="I17" i="3"/>
  <c r="I16" i="3"/>
  <c r="I12" i="2"/>
  <c r="E13" i="2"/>
  <c r="E14" i="2"/>
  <c r="I21" i="2"/>
  <c r="I22" i="2"/>
  <c r="I22" i="1"/>
  <c r="I21" i="1"/>
  <c r="I15" i="1"/>
  <c r="I14" i="1"/>
</calcChain>
</file>

<file path=xl/sharedStrings.xml><?xml version="1.0" encoding="utf-8"?>
<sst xmlns="http://schemas.openxmlformats.org/spreadsheetml/2006/main" count="892" uniqueCount="126">
  <si>
    <t>No.</t>
  </si>
  <si>
    <t>材料
記号</t>
  </si>
  <si>
    <t>寸法1</t>
  </si>
  <si>
    <t>寸法2</t>
  </si>
  <si>
    <t>寸法3</t>
  </si>
  <si>
    <t>寸法4</t>
  </si>
  <si>
    <t>寸法5
(長さ)</t>
  </si>
  <si>
    <t>員 数</t>
  </si>
  <si>
    <t>単位
重量</t>
  </si>
  <si>
    <t>ﾈｯﾄ率</t>
  </si>
  <si>
    <t>材 質</t>
  </si>
  <si>
    <t>材片名</t>
  </si>
  <si>
    <t>ｺﾒﾝﾄ</t>
  </si>
  <si>
    <t>属性</t>
  </si>
  <si>
    <t>塗装面積用</t>
  </si>
  <si>
    <t>溶接延長</t>
  </si>
  <si>
    <t>製作情報</t>
  </si>
  <si>
    <t>溶接延長(実長)</t>
  </si>
  <si>
    <t>属性1</t>
  </si>
  <si>
    <t>属性2</t>
  </si>
  <si>
    <t>JVｺｰﾄﾞ</t>
  </si>
  <si>
    <t>別名</t>
  </si>
  <si>
    <t>Pｺｰﾄﾞ</t>
  </si>
  <si>
    <t>Tｺｰﾄﾞ</t>
  </si>
  <si>
    <t>色1</t>
  </si>
  <si>
    <t>値1</t>
  </si>
  <si>
    <t>色2</t>
  </si>
  <si>
    <t>値2</t>
  </si>
  <si>
    <t>上</t>
  </si>
  <si>
    <t>下</t>
  </si>
  <si>
    <t>左</t>
  </si>
  <si>
    <t>右</t>
  </si>
  <si>
    <t>余幅</t>
  </si>
  <si>
    <t>余長</t>
  </si>
  <si>
    <t>補正板厚</t>
  </si>
  <si>
    <t>表面1</t>
  </si>
  <si>
    <t>表面2</t>
  </si>
  <si>
    <t>現場/工場</t>
  </si>
  <si>
    <t>板継溶接</t>
  </si>
  <si>
    <t>曲げ加工</t>
  </si>
  <si>
    <t>ﾚｰｻﾞ切断</t>
  </si>
  <si>
    <t>本体付き</t>
  </si>
  <si>
    <t>MARK</t>
  </si>
  <si>
    <t>S1</t>
  </si>
  <si>
    <t>S2</t>
  </si>
  <si>
    <t>S3</t>
  </si>
  <si>
    <t>S4</t>
  </si>
  <si>
    <t>L</t>
  </si>
  <si>
    <t>EACH</t>
  </si>
  <si>
    <t>UNITW</t>
  </si>
  <si>
    <t>NET</t>
  </si>
  <si>
    <t>QUALITY</t>
  </si>
  <si>
    <t>REMARK</t>
  </si>
  <si>
    <t>COMMENT</t>
  </si>
  <si>
    <t>PR1</t>
  </si>
  <si>
    <t>PR2</t>
  </si>
  <si>
    <t>JV</t>
  </si>
  <si>
    <t>ALIAS</t>
  </si>
  <si>
    <t>P</t>
  </si>
  <si>
    <t>T</t>
  </si>
  <si>
    <t>C1</t>
  </si>
  <si>
    <t>A1</t>
  </si>
  <si>
    <t>C2</t>
  </si>
  <si>
    <t>A2</t>
  </si>
  <si>
    <t>WT</t>
  </si>
  <si>
    <t>WB</t>
  </si>
  <si>
    <t>WL</t>
  </si>
  <si>
    <t>WR</t>
  </si>
  <si>
    <t>YW</t>
  </si>
  <si>
    <t>YL</t>
  </si>
  <si>
    <t>HT</t>
  </si>
  <si>
    <t>FACE1</t>
  </si>
  <si>
    <t>FACE2</t>
  </si>
  <si>
    <t>BOLT</t>
  </si>
  <si>
    <t>PW</t>
  </si>
  <si>
    <t>BEND</t>
  </si>
  <si>
    <t>LC</t>
  </si>
  <si>
    <t>BODY</t>
  </si>
  <si>
    <t>WRT</t>
  </si>
  <si>
    <t>WRB</t>
  </si>
  <si>
    <t>WRL</t>
  </si>
  <si>
    <t>WRR</t>
  </si>
  <si>
    <t>#1</t>
  </si>
  <si>
    <t>#2</t>
  </si>
  <si>
    <t>#3</t>
  </si>
  <si>
    <t>#4</t>
  </si>
  <si>
    <t>#5</t>
  </si>
  <si>
    <t>PL</t>
  </si>
  <si>
    <t>M</t>
  </si>
  <si>
    <t>check</t>
    <phoneticPr fontId="3"/>
  </si>
  <si>
    <t>%</t>
    <phoneticPr fontId="3"/>
  </si>
  <si>
    <t>A</t>
    <phoneticPr fontId="3"/>
  </si>
  <si>
    <t>WEB</t>
    <phoneticPr fontId="3"/>
  </si>
  <si>
    <t>SM490YA</t>
    <phoneticPr fontId="3"/>
  </si>
  <si>
    <t>L</t>
    <phoneticPr fontId="3"/>
  </si>
  <si>
    <t>サンプル橋</t>
    <rPh sb="4" eb="5">
      <t xml:space="preserve">ハシ </t>
    </rPh>
    <phoneticPr fontId="3"/>
  </si>
  <si>
    <t>下部構造</t>
    <rPh sb="0" eb="4">
      <t>カブコウゾウ</t>
    </rPh>
    <phoneticPr fontId="3"/>
  </si>
  <si>
    <t>橋脚本体</t>
    <rPh sb="0" eb="2">
      <t>キョウキャク</t>
    </rPh>
    <rPh sb="2" eb="4">
      <t>ホンタイ</t>
    </rPh>
    <phoneticPr fontId="3"/>
  </si>
  <si>
    <t>P1橋脚</t>
    <rPh sb="2" eb="4">
      <t>キョウキャ</t>
    </rPh>
    <phoneticPr fontId="3"/>
  </si>
  <si>
    <t>SEC</t>
    <phoneticPr fontId="3"/>
  </si>
  <si>
    <t>U-FLG</t>
    <phoneticPr fontId="3"/>
  </si>
  <si>
    <t>L-FLG</t>
    <phoneticPr fontId="3"/>
  </si>
  <si>
    <t>B</t>
    <phoneticPr fontId="3"/>
  </si>
  <si>
    <t>U-RIB</t>
    <phoneticPr fontId="3"/>
  </si>
  <si>
    <t>L-RIB</t>
    <phoneticPr fontId="3"/>
  </si>
  <si>
    <t>END</t>
  </si>
  <si>
    <t>E</t>
    <phoneticPr fontId="3"/>
  </si>
  <si>
    <t>*=</t>
    <phoneticPr fontId="3"/>
  </si>
  <si>
    <t>S</t>
  </si>
  <si>
    <t>CONN</t>
    <phoneticPr fontId="3"/>
  </si>
  <si>
    <t>SS400</t>
  </si>
  <si>
    <t>仕口</t>
    <rPh sb="0" eb="2">
      <t>シグティ</t>
    </rPh>
    <phoneticPr fontId="3"/>
  </si>
  <si>
    <t>中間横桁</t>
    <rPh sb="0" eb="4">
      <t>チュウ</t>
    </rPh>
    <phoneticPr fontId="3"/>
  </si>
  <si>
    <t>F</t>
    <phoneticPr fontId="3"/>
  </si>
  <si>
    <t>Z</t>
  </si>
  <si>
    <t>BN2</t>
  </si>
  <si>
    <t>S10T</t>
    <phoneticPr fontId="3"/>
  </si>
  <si>
    <t>TCB</t>
    <phoneticPr fontId="3"/>
  </si>
  <si>
    <t>V.STIF</t>
    <phoneticPr fontId="3"/>
  </si>
  <si>
    <t>SM400A</t>
    <phoneticPr fontId="3"/>
  </si>
  <si>
    <t>FLG</t>
    <phoneticPr fontId="3"/>
  </si>
  <si>
    <t>本体</t>
    <rPh sb="0" eb="2">
      <t>ホンタイ</t>
    </rPh>
    <phoneticPr fontId="3"/>
  </si>
  <si>
    <t>中間横桁</t>
    <rPh sb="0" eb="2">
      <t>チュウ</t>
    </rPh>
    <rPh sb="2" eb="4">
      <t>ヨコケタ</t>
    </rPh>
    <phoneticPr fontId="3"/>
  </si>
  <si>
    <t>横桁</t>
    <rPh sb="0" eb="1">
      <t>ヨコ</t>
    </rPh>
    <rPh sb="1" eb="2">
      <t>ケタ</t>
    </rPh>
    <phoneticPr fontId="3"/>
  </si>
  <si>
    <t>主構造</t>
    <rPh sb="0" eb="3">
      <t>シュコウゾウ</t>
    </rPh>
    <phoneticPr fontId="3"/>
  </si>
  <si>
    <t>上部構造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</si>
</sst>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ＭＳ 明朝"/>
      <family val="1"/>
      <charset val="128"/>
    </font>
    <font>
      <sz val="9"/>
      <color theme="1"/>
      <name val="BIZ UDGothic"/>
      <family val="2"/>
      <charset val="1"/>
    </font>
    <font>
      <b/>
      <sz val="9"/>
      <color theme="1"/>
      <name val="BIZ UDGothic"/>
      <family val="2"/>
      <charset val="1"/>
    </font>
    <font>
      <sz val="6"/>
      <name val="ＭＳ 明朝"/>
      <family val="1"/>
      <charset val="128"/>
    </font>
    <font>
      <sz val="9"/>
      <color rgb="FFC9211E"/>
      <name val="BIZ UDGothic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2"/>
        <bgColor rgb="FFDEE6EF"/>
      </patternFill>
    </fill>
    <fill>
      <patternFill patternType="solid">
        <fgColor rgb="FFDEE6EF"/>
        <bgColor rgb="FFE7E6E6"/>
      </patternFill>
    </fill>
    <fill>
      <patternFill patternType="solid">
        <fgColor rgb="FFFFF5CE"/>
        <bgColor rgb="FFFFFF99"/>
      </patternFill>
    </fill>
    <fill>
      <patternFill patternType="solid">
        <fgColor rgb="FFFFD7D7"/>
        <bgColor rgb="FFE7E6E6"/>
      </patternFill>
    </fill>
    <fill>
      <patternFill patternType="solid">
        <fgColor rgb="FFFF0000"/>
        <bgColor rgb="FFE7E6E6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1" fillId="0" borderId="1" xfId="0" applyFont="1" applyBorder="1" applyAlignment="1">
      <alignment horizontal="center"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" fillId="5" borderId="0" xfId="0" applyFont="1" applyFill="1">
      <alignment vertical="center"/>
    </xf>
    <xf numFmtId="0" fontId="4" fillId="0" borderId="0" xfId="0" applyFont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CB0E-F115-4C0B-A4DB-8E37CD8BEDC7}">
  <dimension ref="A1:AQ23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3.5703125" defaultRowHeight="15" customHeight="1"/>
  <cols>
    <col min="1" max="1" width="3.5703125" style="2"/>
    <col min="2" max="3" width="3.5703125" style="3"/>
    <col min="4" max="4" width="7.140625" style="3" customWidth="1"/>
    <col min="5" max="7" width="9.140625" style="3" customWidth="1"/>
    <col min="8" max="12" width="7.140625" style="3" customWidth="1"/>
    <col min="13" max="13" width="10.85546875" style="3" customWidth="1"/>
    <col min="14" max="19" width="7.140625" style="3" customWidth="1"/>
    <col min="20" max="25" width="5.85546875" style="3" customWidth="1"/>
    <col min="26" max="29" width="3.5703125" style="3"/>
    <col min="30" max="31" width="5.85546875" style="3" customWidth="1"/>
    <col min="32" max="39" width="7.140625" style="3" customWidth="1"/>
    <col min="40" max="43" width="5.85546875" style="3" customWidth="1"/>
    <col min="44" max="256" width="7.140625" style="3" customWidth="1"/>
    <col min="257" max="16384" width="3.5703125" style="3"/>
  </cols>
  <sheetData>
    <row r="1" spans="1:43" s="1" customFormat="1" ht="15" customHeight="1">
      <c r="A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/>
      <c r="R1" s="11"/>
      <c r="S1" s="11"/>
      <c r="T1" s="11" t="s">
        <v>14</v>
      </c>
      <c r="U1" s="11"/>
      <c r="V1" s="11"/>
      <c r="W1" s="11"/>
      <c r="X1" s="11"/>
      <c r="Y1" s="11"/>
      <c r="Z1" s="11" t="s">
        <v>15</v>
      </c>
      <c r="AA1" s="11"/>
      <c r="AB1" s="11"/>
      <c r="AC1" s="11"/>
      <c r="AD1" s="11" t="s">
        <v>16</v>
      </c>
      <c r="AE1" s="11"/>
      <c r="AF1" s="11"/>
      <c r="AG1" s="11"/>
      <c r="AH1" s="11"/>
      <c r="AI1" s="11"/>
      <c r="AJ1" s="11"/>
      <c r="AK1" s="11"/>
      <c r="AL1" s="11"/>
      <c r="AM1" s="11"/>
      <c r="AN1" s="11" t="s">
        <v>17</v>
      </c>
      <c r="AO1" s="11"/>
      <c r="AP1" s="11"/>
      <c r="AQ1" s="11"/>
    </row>
    <row r="2" spans="1:43" s="4" customFormat="1" ht="15" customHeight="1">
      <c r="A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0"/>
      <c r="B3" s="9" t="s">
        <v>89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D4" s="15"/>
      <c r="E4" s="15"/>
      <c r="J4" s="15"/>
    </row>
    <row r="5" spans="1:43" ht="15" customHeight="1">
      <c r="D5" s="3" t="s">
        <v>83</v>
      </c>
      <c r="E5" s="3" t="s">
        <v>125</v>
      </c>
      <c r="J5" s="3">
        <v>1</v>
      </c>
    </row>
    <row r="6" spans="1:43" ht="15" customHeight="1">
      <c r="D6" s="3" t="s">
        <v>84</v>
      </c>
      <c r="E6" s="3" t="s">
        <v>124</v>
      </c>
      <c r="J6" s="3">
        <v>1</v>
      </c>
    </row>
    <row r="7" spans="1:43" ht="15" customHeight="1">
      <c r="D7" s="3" t="s">
        <v>85</v>
      </c>
      <c r="E7" s="3" t="s">
        <v>123</v>
      </c>
      <c r="J7" s="3">
        <v>1</v>
      </c>
    </row>
    <row r="9" spans="1:43" ht="15" customHeight="1">
      <c r="D9" s="3" t="s">
        <v>86</v>
      </c>
      <c r="E9" s="3" t="s">
        <v>122</v>
      </c>
      <c r="J9" s="3">
        <v>1</v>
      </c>
    </row>
    <row r="10" spans="1:43" s="6" customFormat="1" ht="15" customHeight="1">
      <c r="E10" s="6" t="s">
        <v>112</v>
      </c>
      <c r="F10" s="6" t="s">
        <v>121</v>
      </c>
      <c r="J10" s="6">
        <v>6</v>
      </c>
      <c r="K10" s="6">
        <v>1</v>
      </c>
    </row>
    <row r="11" spans="1:43" ht="15" customHeight="1">
      <c r="D11" s="3" t="s">
        <v>87</v>
      </c>
      <c r="E11" s="3">
        <v>220</v>
      </c>
      <c r="F11" s="3">
        <v>16</v>
      </c>
      <c r="I11" s="13">
        <v>2200</v>
      </c>
      <c r="J11" s="3">
        <v>2</v>
      </c>
      <c r="M11" s="3" t="s">
        <v>93</v>
      </c>
      <c r="N11" s="3" t="s">
        <v>120</v>
      </c>
      <c r="P11" s="7" t="s">
        <v>94</v>
      </c>
      <c r="U11" s="3" t="s">
        <v>90</v>
      </c>
      <c r="V11" s="3" t="s">
        <v>91</v>
      </c>
      <c r="W11" s="3">
        <v>100</v>
      </c>
    </row>
    <row r="12" spans="1:43" ht="15" customHeight="1">
      <c r="D12" s="3" t="s">
        <v>87</v>
      </c>
      <c r="E12" s="3">
        <v>800</v>
      </c>
      <c r="F12" s="3">
        <v>10</v>
      </c>
      <c r="I12" s="8">
        <f>I11</f>
        <v>2200</v>
      </c>
      <c r="J12" s="3">
        <v>1</v>
      </c>
      <c r="M12" s="3" t="s">
        <v>93</v>
      </c>
      <c r="N12" s="3" t="s">
        <v>92</v>
      </c>
      <c r="P12" s="7" t="s">
        <v>94</v>
      </c>
      <c r="U12" s="3" t="s">
        <v>90</v>
      </c>
      <c r="V12" s="3" t="s">
        <v>91</v>
      </c>
      <c r="W12" s="3">
        <v>100</v>
      </c>
    </row>
    <row r="13" spans="1:43" ht="15" customHeight="1">
      <c r="D13" s="3" t="s">
        <v>107</v>
      </c>
      <c r="E13" s="3">
        <f>E12</f>
        <v>800</v>
      </c>
      <c r="I13" s="8">
        <v>80</v>
      </c>
      <c r="J13" s="3">
        <v>2</v>
      </c>
      <c r="U13" s="3" t="s">
        <v>90</v>
      </c>
      <c r="V13" s="3" t="s">
        <v>91</v>
      </c>
      <c r="W13" s="3">
        <v>-100</v>
      </c>
    </row>
    <row r="14" spans="1:43" ht="15" customHeight="1">
      <c r="D14" s="3" t="s">
        <v>107</v>
      </c>
      <c r="E14" s="3">
        <f>E13</f>
        <v>800</v>
      </c>
      <c r="I14" s="8">
        <v>80</v>
      </c>
      <c r="J14" s="3">
        <v>2</v>
      </c>
      <c r="U14" s="3" t="s">
        <v>90</v>
      </c>
      <c r="V14" s="3" t="s">
        <v>106</v>
      </c>
      <c r="W14" s="3">
        <v>100</v>
      </c>
    </row>
    <row r="15" spans="1:43" ht="15" customHeight="1">
      <c r="D15" s="3" t="s">
        <v>87</v>
      </c>
      <c r="E15" s="3">
        <v>120</v>
      </c>
      <c r="F15" s="3">
        <v>12</v>
      </c>
      <c r="I15" s="8">
        <v>200</v>
      </c>
      <c r="J15" s="3">
        <v>3</v>
      </c>
      <c r="M15" s="3" t="s">
        <v>119</v>
      </c>
      <c r="N15" s="3" t="s">
        <v>118</v>
      </c>
      <c r="P15" s="7" t="s">
        <v>108</v>
      </c>
      <c r="U15" s="3" t="s">
        <v>90</v>
      </c>
      <c r="V15" s="3" t="s">
        <v>91</v>
      </c>
      <c r="W15" s="3">
        <v>100</v>
      </c>
    </row>
    <row r="16" spans="1:43" ht="15" customHeight="1">
      <c r="D16" s="3" t="s">
        <v>117</v>
      </c>
      <c r="E16" s="3">
        <v>22</v>
      </c>
      <c r="I16" s="3">
        <v>55</v>
      </c>
      <c r="J16" s="3">
        <v>16</v>
      </c>
      <c r="M16" s="3" t="s">
        <v>116</v>
      </c>
      <c r="N16" s="3" t="s">
        <v>115</v>
      </c>
      <c r="P16" s="12" t="s">
        <v>114</v>
      </c>
      <c r="U16" s="3" t="s">
        <v>90</v>
      </c>
      <c r="V16" s="3" t="s">
        <v>113</v>
      </c>
      <c r="W16" s="3">
        <v>100</v>
      </c>
    </row>
    <row r="17" spans="4:23" ht="15" customHeight="1">
      <c r="D17" s="3" t="s">
        <v>105</v>
      </c>
    </row>
    <row r="19" spans="4:23" s="6" customFormat="1" ht="15" customHeight="1">
      <c r="E19" s="6" t="s">
        <v>112</v>
      </c>
      <c r="F19" s="6" t="s">
        <v>111</v>
      </c>
      <c r="J19" s="6">
        <v>6</v>
      </c>
      <c r="K19" s="6">
        <v>2</v>
      </c>
    </row>
    <row r="20" spans="4:23" ht="15" customHeight="1">
      <c r="D20" s="3" t="s">
        <v>87</v>
      </c>
      <c r="E20" s="3">
        <v>160</v>
      </c>
      <c r="F20" s="3">
        <v>9</v>
      </c>
      <c r="I20" s="3">
        <v>640</v>
      </c>
      <c r="J20" s="3">
        <v>1</v>
      </c>
      <c r="M20" s="3" t="s">
        <v>110</v>
      </c>
      <c r="N20" s="3" t="s">
        <v>109</v>
      </c>
      <c r="P20" s="7" t="s">
        <v>108</v>
      </c>
      <c r="U20" s="3" t="s">
        <v>90</v>
      </c>
      <c r="V20" s="3" t="s">
        <v>91</v>
      </c>
      <c r="W20" s="3">
        <v>100</v>
      </c>
    </row>
    <row r="21" spans="4:23" ht="15" customHeight="1">
      <c r="D21" s="3" t="s">
        <v>107</v>
      </c>
      <c r="E21" s="3">
        <v>80</v>
      </c>
      <c r="I21" s="8">
        <f>I20</f>
        <v>640</v>
      </c>
      <c r="J21" s="3">
        <v>1</v>
      </c>
      <c r="U21" s="3" t="s">
        <v>90</v>
      </c>
      <c r="V21" s="3" t="s">
        <v>91</v>
      </c>
      <c r="W21" s="3">
        <v>-100</v>
      </c>
    </row>
    <row r="22" spans="4:23" ht="15" customHeight="1">
      <c r="D22" s="3" t="s">
        <v>107</v>
      </c>
      <c r="E22" s="3">
        <v>80</v>
      </c>
      <c r="I22" s="8">
        <f>I21</f>
        <v>640</v>
      </c>
      <c r="J22" s="3">
        <v>1</v>
      </c>
      <c r="U22" s="3" t="s">
        <v>90</v>
      </c>
      <c r="V22" s="3" t="s">
        <v>106</v>
      </c>
      <c r="W22" s="3">
        <v>100</v>
      </c>
    </row>
    <row r="23" spans="4:23" ht="15" customHeight="1">
      <c r="D23" s="3" t="s">
        <v>105</v>
      </c>
    </row>
  </sheetData>
  <mergeCells count="18">
    <mergeCell ref="O1:O2"/>
    <mergeCell ref="P1:S1"/>
    <mergeCell ref="T1:Y1"/>
    <mergeCell ref="Z1:AC1"/>
    <mergeCell ref="AD1:AM1"/>
    <mergeCell ref="AN1:AQ1"/>
    <mergeCell ref="I1:I2"/>
    <mergeCell ref="J1:J2"/>
    <mergeCell ref="K1:K2"/>
    <mergeCell ref="L1:L2"/>
    <mergeCell ref="M1:M2"/>
    <mergeCell ref="N1:N2"/>
    <mergeCell ref="A1:A3"/>
    <mergeCell ref="D1:D2"/>
    <mergeCell ref="E1:E2"/>
    <mergeCell ref="F1:F2"/>
    <mergeCell ref="G1:G2"/>
    <mergeCell ref="H1:H2"/>
  </mergeCells>
  <phoneticPr fontId="3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2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3.5703125" defaultRowHeight="15" customHeight="1"/>
  <cols>
    <col min="1" max="1" width="3.5703125" style="2"/>
    <col min="2" max="3" width="3.5703125" style="3"/>
    <col min="4" max="4" width="7.140625" style="3" customWidth="1"/>
    <col min="5" max="7" width="9.140625" style="3" customWidth="1"/>
    <col min="8" max="12" width="7.140625" style="3" customWidth="1"/>
    <col min="13" max="13" width="10.85546875" style="3" customWidth="1"/>
    <col min="14" max="19" width="7.140625" style="3" customWidth="1"/>
    <col min="20" max="25" width="5.85546875" style="3" customWidth="1"/>
    <col min="26" max="29" width="3.5703125" style="3"/>
    <col min="30" max="31" width="5.85546875" style="3" customWidth="1"/>
    <col min="32" max="39" width="7.140625" style="3" customWidth="1"/>
    <col min="40" max="43" width="5.85546875" style="3" customWidth="1"/>
    <col min="44" max="256" width="7.140625" style="3" customWidth="1"/>
    <col min="257" max="16384" width="3.5703125" style="3"/>
  </cols>
  <sheetData>
    <row r="1" spans="1:43" s="1" customFormat="1" ht="15" customHeight="1">
      <c r="A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/>
      <c r="R1" s="11"/>
      <c r="S1" s="11"/>
      <c r="T1" s="11" t="s">
        <v>14</v>
      </c>
      <c r="U1" s="11"/>
      <c r="V1" s="11"/>
      <c r="W1" s="11"/>
      <c r="X1" s="11"/>
      <c r="Y1" s="11"/>
      <c r="Z1" s="11" t="s">
        <v>15</v>
      </c>
      <c r="AA1" s="11"/>
      <c r="AB1" s="11"/>
      <c r="AC1" s="11"/>
      <c r="AD1" s="11" t="s">
        <v>16</v>
      </c>
      <c r="AE1" s="11"/>
      <c r="AF1" s="11"/>
      <c r="AG1" s="11"/>
      <c r="AH1" s="11"/>
      <c r="AI1" s="11"/>
      <c r="AJ1" s="11"/>
      <c r="AK1" s="11"/>
      <c r="AL1" s="11"/>
      <c r="AM1" s="11"/>
      <c r="AN1" s="11" t="s">
        <v>17</v>
      </c>
      <c r="AO1" s="11"/>
      <c r="AP1" s="11"/>
      <c r="AQ1" s="11"/>
    </row>
    <row r="2" spans="1:43" s="4" customFormat="1" ht="15" customHeight="1">
      <c r="A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0"/>
      <c r="B3" s="9" t="s">
        <v>89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D4" s="3" t="s">
        <v>82</v>
      </c>
      <c r="E4" s="3" t="s">
        <v>95</v>
      </c>
      <c r="J4" s="3">
        <v>1</v>
      </c>
    </row>
    <row r="5" spans="1:43" ht="15" customHeight="1">
      <c r="D5" s="3" t="s">
        <v>83</v>
      </c>
      <c r="E5" s="3" t="s">
        <v>96</v>
      </c>
      <c r="J5" s="3">
        <v>1</v>
      </c>
    </row>
    <row r="6" spans="1:43" ht="15" customHeight="1">
      <c r="D6" s="15"/>
      <c r="E6" s="15"/>
      <c r="J6" s="15"/>
    </row>
    <row r="7" spans="1:43" ht="15" customHeight="1">
      <c r="D7" s="3" t="s">
        <v>85</v>
      </c>
      <c r="E7" s="3" t="s">
        <v>97</v>
      </c>
      <c r="J7" s="3">
        <v>1</v>
      </c>
    </row>
    <row r="9" spans="1:43" ht="15" customHeight="1">
      <c r="D9" s="3" t="s">
        <v>86</v>
      </c>
      <c r="E9" s="3" t="s">
        <v>98</v>
      </c>
      <c r="J9" s="3">
        <v>1</v>
      </c>
    </row>
    <row r="10" spans="1:43" s="6" customFormat="1" ht="15" customHeight="1">
      <c r="E10" s="6" t="s">
        <v>99</v>
      </c>
      <c r="F10" s="6">
        <v>1</v>
      </c>
      <c r="J10" s="6">
        <v>1</v>
      </c>
      <c r="K10" s="6">
        <v>1</v>
      </c>
    </row>
    <row r="11" spans="1:43" ht="15" customHeight="1">
      <c r="D11" s="3" t="s">
        <v>87</v>
      </c>
      <c r="E11" s="3">
        <v>2450</v>
      </c>
      <c r="F11" s="3">
        <v>22</v>
      </c>
      <c r="I11" s="8">
        <v>7990</v>
      </c>
      <c r="J11" s="3">
        <v>1</v>
      </c>
      <c r="M11" s="3" t="s">
        <v>93</v>
      </c>
      <c r="N11" s="3" t="s">
        <v>100</v>
      </c>
      <c r="P11" s="7" t="s">
        <v>94</v>
      </c>
      <c r="U11" s="3" t="s">
        <v>90</v>
      </c>
      <c r="V11" s="3" t="s">
        <v>91</v>
      </c>
      <c r="W11" s="3">
        <v>50</v>
      </c>
      <c r="X11" s="3" t="s">
        <v>102</v>
      </c>
      <c r="Y11" s="3">
        <v>50</v>
      </c>
      <c r="AG11" s="3" t="s">
        <v>88</v>
      </c>
      <c r="AH11" s="3" t="s">
        <v>88</v>
      </c>
    </row>
    <row r="12" spans="1:43" ht="15" customHeight="1">
      <c r="D12" s="3" t="s">
        <v>87</v>
      </c>
      <c r="E12" s="3">
        <v>2000</v>
      </c>
      <c r="F12" s="3">
        <v>19</v>
      </c>
      <c r="I12" s="8">
        <v>7990</v>
      </c>
      <c r="J12" s="3">
        <v>2</v>
      </c>
      <c r="M12" s="3" t="s">
        <v>93</v>
      </c>
      <c r="N12" s="3" t="s">
        <v>92</v>
      </c>
      <c r="P12" s="7" t="s">
        <v>94</v>
      </c>
      <c r="U12" s="3" t="s">
        <v>90</v>
      </c>
      <c r="V12" s="3" t="s">
        <v>91</v>
      </c>
      <c r="W12" s="3">
        <v>50</v>
      </c>
      <c r="X12" s="3" t="s">
        <v>102</v>
      </c>
      <c r="Y12" s="3">
        <v>50</v>
      </c>
      <c r="AG12" s="3" t="s">
        <v>88</v>
      </c>
      <c r="AH12" s="3" t="s">
        <v>88</v>
      </c>
    </row>
    <row r="13" spans="1:43" ht="15" customHeight="1">
      <c r="D13" s="3" t="s">
        <v>87</v>
      </c>
      <c r="E13" s="3">
        <v>2450</v>
      </c>
      <c r="F13" s="3">
        <v>22</v>
      </c>
      <c r="I13" s="8">
        <v>7990</v>
      </c>
      <c r="J13" s="3">
        <v>1</v>
      </c>
      <c r="M13" s="3" t="s">
        <v>93</v>
      </c>
      <c r="N13" s="3" t="s">
        <v>101</v>
      </c>
      <c r="P13" s="7" t="s">
        <v>94</v>
      </c>
      <c r="U13" s="3" t="s">
        <v>90</v>
      </c>
      <c r="V13" s="3" t="s">
        <v>91</v>
      </c>
      <c r="W13" s="3">
        <v>50</v>
      </c>
      <c r="X13" s="3" t="s">
        <v>102</v>
      </c>
      <c r="Y13" s="3">
        <v>50</v>
      </c>
      <c r="AG13" s="3" t="s">
        <v>88</v>
      </c>
      <c r="AH13" s="3" t="s">
        <v>88</v>
      </c>
    </row>
    <row r="14" spans="1:43" ht="15" customHeight="1">
      <c r="D14" s="3" t="s">
        <v>87</v>
      </c>
      <c r="E14" s="3">
        <v>220</v>
      </c>
      <c r="F14" s="3">
        <v>22</v>
      </c>
      <c r="I14" s="8">
        <f>$I$13-20</f>
        <v>7970</v>
      </c>
      <c r="J14" s="3">
        <v>4</v>
      </c>
      <c r="M14" s="3" t="s">
        <v>93</v>
      </c>
      <c r="N14" s="3" t="s">
        <v>103</v>
      </c>
      <c r="P14" s="7" t="s">
        <v>94</v>
      </c>
      <c r="U14" s="3" t="s">
        <v>90</v>
      </c>
      <c r="V14" s="3" t="s">
        <v>102</v>
      </c>
      <c r="W14" s="3">
        <v>100</v>
      </c>
      <c r="AG14" s="3" t="s">
        <v>88</v>
      </c>
      <c r="AH14" s="3" t="s">
        <v>88</v>
      </c>
    </row>
    <row r="15" spans="1:43" ht="15" customHeight="1">
      <c r="D15" s="3" t="s">
        <v>87</v>
      </c>
      <c r="E15" s="3">
        <v>220</v>
      </c>
      <c r="F15" s="3">
        <v>22</v>
      </c>
      <c r="I15" s="8">
        <f>$I$13-20</f>
        <v>7970</v>
      </c>
      <c r="J15" s="3">
        <v>4</v>
      </c>
      <c r="M15" s="3" t="s">
        <v>93</v>
      </c>
      <c r="N15" s="3" t="s">
        <v>104</v>
      </c>
      <c r="P15" s="7" t="s">
        <v>94</v>
      </c>
      <c r="U15" s="3" t="s">
        <v>90</v>
      </c>
      <c r="V15" s="3" t="s">
        <v>102</v>
      </c>
      <c r="W15" s="3">
        <v>100</v>
      </c>
      <c r="AG15" s="3" t="s">
        <v>88</v>
      </c>
      <c r="AH15" s="3" t="s">
        <v>88</v>
      </c>
    </row>
    <row r="17" spans="4:34" s="6" customFormat="1" ht="15" customHeight="1">
      <c r="E17" s="6" t="s">
        <v>99</v>
      </c>
      <c r="F17" s="6">
        <v>2</v>
      </c>
      <c r="J17" s="6">
        <v>1</v>
      </c>
      <c r="K17" s="6">
        <v>1</v>
      </c>
    </row>
    <row r="18" spans="4:34" ht="15" customHeight="1">
      <c r="D18" s="3" t="s">
        <v>87</v>
      </c>
      <c r="E18" s="3">
        <v>2450</v>
      </c>
      <c r="F18" s="3">
        <v>22</v>
      </c>
      <c r="I18" s="8">
        <v>6490</v>
      </c>
      <c r="J18" s="3">
        <v>1</v>
      </c>
      <c r="M18" s="3" t="s">
        <v>93</v>
      </c>
      <c r="N18" s="3" t="s">
        <v>100</v>
      </c>
      <c r="P18" s="7" t="s">
        <v>94</v>
      </c>
      <c r="U18" s="3" t="s">
        <v>90</v>
      </c>
      <c r="V18" s="3" t="s">
        <v>91</v>
      </c>
      <c r="W18" s="3">
        <v>50</v>
      </c>
      <c r="X18" s="3" t="s">
        <v>102</v>
      </c>
      <c r="Y18" s="3">
        <v>50</v>
      </c>
      <c r="AG18" s="3" t="s">
        <v>88</v>
      </c>
      <c r="AH18" s="3" t="s">
        <v>88</v>
      </c>
    </row>
    <row r="19" spans="4:34" ht="15" customHeight="1">
      <c r="D19" s="3" t="s">
        <v>87</v>
      </c>
      <c r="E19" s="3">
        <v>2000</v>
      </c>
      <c r="F19" s="3">
        <v>19</v>
      </c>
      <c r="I19" s="8">
        <v>6490</v>
      </c>
      <c r="J19" s="3">
        <v>2</v>
      </c>
      <c r="M19" s="3" t="s">
        <v>93</v>
      </c>
      <c r="N19" s="3" t="s">
        <v>92</v>
      </c>
      <c r="P19" s="7" t="s">
        <v>94</v>
      </c>
      <c r="U19" s="3" t="s">
        <v>90</v>
      </c>
      <c r="V19" s="3" t="s">
        <v>91</v>
      </c>
      <c r="W19" s="3">
        <v>50</v>
      </c>
      <c r="X19" s="3" t="s">
        <v>102</v>
      </c>
      <c r="Y19" s="3">
        <v>50</v>
      </c>
      <c r="AG19" s="3" t="s">
        <v>88</v>
      </c>
      <c r="AH19" s="3" t="s">
        <v>88</v>
      </c>
    </row>
    <row r="20" spans="4:34" ht="15" customHeight="1">
      <c r="D20" s="3" t="s">
        <v>87</v>
      </c>
      <c r="E20" s="3">
        <v>2450</v>
      </c>
      <c r="F20" s="3">
        <v>22</v>
      </c>
      <c r="I20" s="8">
        <v>6490</v>
      </c>
      <c r="J20" s="3">
        <v>1</v>
      </c>
      <c r="M20" s="3" t="s">
        <v>93</v>
      </c>
      <c r="N20" s="3" t="s">
        <v>101</v>
      </c>
      <c r="P20" s="7" t="s">
        <v>94</v>
      </c>
      <c r="U20" s="3" t="s">
        <v>90</v>
      </c>
      <c r="V20" s="3" t="s">
        <v>91</v>
      </c>
      <c r="W20" s="3">
        <v>50</v>
      </c>
      <c r="X20" s="3" t="s">
        <v>102</v>
      </c>
      <c r="Y20" s="3">
        <v>50</v>
      </c>
      <c r="AG20" s="3" t="s">
        <v>88</v>
      </c>
      <c r="AH20" s="3" t="s">
        <v>88</v>
      </c>
    </row>
    <row r="21" spans="4:34" ht="15" customHeight="1">
      <c r="D21" s="3" t="s">
        <v>87</v>
      </c>
      <c r="E21" s="3">
        <v>220</v>
      </c>
      <c r="F21" s="3">
        <v>22</v>
      </c>
      <c r="I21" s="8">
        <f>$I$20-20</f>
        <v>6470</v>
      </c>
      <c r="J21" s="3">
        <v>4</v>
      </c>
      <c r="M21" s="3" t="s">
        <v>93</v>
      </c>
      <c r="N21" s="3" t="s">
        <v>103</v>
      </c>
      <c r="P21" s="7" t="s">
        <v>94</v>
      </c>
      <c r="U21" s="3" t="s">
        <v>90</v>
      </c>
      <c r="V21" s="3" t="s">
        <v>102</v>
      </c>
      <c r="W21" s="3">
        <v>100</v>
      </c>
      <c r="AG21" s="3" t="s">
        <v>88</v>
      </c>
      <c r="AH21" s="3" t="s">
        <v>88</v>
      </c>
    </row>
    <row r="22" spans="4:34" ht="15" customHeight="1">
      <c r="D22" s="3" t="s">
        <v>87</v>
      </c>
      <c r="E22" s="3">
        <v>220</v>
      </c>
      <c r="F22" s="3">
        <v>22</v>
      </c>
      <c r="I22" s="8">
        <f>$I$20-20</f>
        <v>6470</v>
      </c>
      <c r="J22" s="3">
        <v>4</v>
      </c>
      <c r="M22" s="3" t="s">
        <v>93</v>
      </c>
      <c r="N22" s="3" t="s">
        <v>104</v>
      </c>
      <c r="P22" s="7" t="s">
        <v>94</v>
      </c>
      <c r="U22" s="3" t="s">
        <v>90</v>
      </c>
      <c r="V22" s="3" t="s">
        <v>102</v>
      </c>
      <c r="W22" s="3">
        <v>100</v>
      </c>
      <c r="AG22" s="3" t="s">
        <v>88</v>
      </c>
      <c r="AH22" s="3" t="s">
        <v>88</v>
      </c>
    </row>
  </sheetData>
  <mergeCells count="18">
    <mergeCell ref="Z1:AC1"/>
    <mergeCell ref="AD1:AM1"/>
    <mergeCell ref="AN1:AQ1"/>
    <mergeCell ref="M1:M2"/>
    <mergeCell ref="N1:N2"/>
    <mergeCell ref="O1:O2"/>
    <mergeCell ref="P1:S1"/>
    <mergeCell ref="T1:Y1"/>
    <mergeCell ref="H1:H2"/>
    <mergeCell ref="I1:I2"/>
    <mergeCell ref="J1:J2"/>
    <mergeCell ref="K1:K2"/>
    <mergeCell ref="L1:L2"/>
    <mergeCell ref="A1:A3"/>
    <mergeCell ref="D1:D2"/>
    <mergeCell ref="E1:E2"/>
    <mergeCell ref="F1:F2"/>
    <mergeCell ref="G1:G2"/>
  </mergeCells>
  <phoneticPr fontId="3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FC07-3D86-4912-B25D-C5734AF326D6}">
  <dimension ref="A1:AQ17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3.5703125" defaultRowHeight="15" customHeight="1"/>
  <cols>
    <col min="1" max="1" width="3.5703125" style="2"/>
    <col min="2" max="3" width="3.5703125" style="3"/>
    <col min="4" max="4" width="7.140625" style="3" customWidth="1"/>
    <col min="5" max="7" width="9.140625" style="3" customWidth="1"/>
    <col min="8" max="12" width="7.140625" style="3" customWidth="1"/>
    <col min="13" max="13" width="10.85546875" style="3" customWidth="1"/>
    <col min="14" max="19" width="7.140625" style="3" customWidth="1"/>
    <col min="20" max="25" width="5.85546875" style="3" customWidth="1"/>
    <col min="26" max="29" width="3.5703125" style="3"/>
    <col min="30" max="31" width="5.85546875" style="3" customWidth="1"/>
    <col min="32" max="39" width="7.140625" style="3" customWidth="1"/>
    <col min="40" max="43" width="5.85546875" style="3" customWidth="1"/>
    <col min="44" max="256" width="7.140625" style="3" customWidth="1"/>
    <col min="257" max="16384" width="3.5703125" style="3"/>
  </cols>
  <sheetData>
    <row r="1" spans="1:43" s="1" customFormat="1" ht="15" customHeight="1">
      <c r="A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/>
      <c r="R1" s="11"/>
      <c r="S1" s="11"/>
      <c r="T1" s="11" t="s">
        <v>14</v>
      </c>
      <c r="U1" s="11"/>
      <c r="V1" s="11"/>
      <c r="W1" s="11"/>
      <c r="X1" s="11"/>
      <c r="Y1" s="11"/>
      <c r="Z1" s="11" t="s">
        <v>15</v>
      </c>
      <c r="AA1" s="11"/>
      <c r="AB1" s="11"/>
      <c r="AC1" s="11"/>
      <c r="AD1" s="11" t="s">
        <v>16</v>
      </c>
      <c r="AE1" s="11"/>
      <c r="AF1" s="11"/>
      <c r="AG1" s="11"/>
      <c r="AH1" s="11"/>
      <c r="AI1" s="11"/>
      <c r="AJ1" s="11"/>
      <c r="AK1" s="11"/>
      <c r="AL1" s="11"/>
      <c r="AM1" s="11"/>
      <c r="AN1" s="11" t="s">
        <v>17</v>
      </c>
      <c r="AO1" s="11"/>
      <c r="AP1" s="11"/>
      <c r="AQ1" s="11"/>
    </row>
    <row r="2" spans="1:43" s="4" customFormat="1" ht="15" customHeight="1">
      <c r="A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0"/>
      <c r="B3" s="9" t="s">
        <v>89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D4" s="3" t="s">
        <v>82</v>
      </c>
      <c r="E4" s="3" t="s">
        <v>95</v>
      </c>
      <c r="J4" s="3">
        <v>1</v>
      </c>
    </row>
    <row r="5" spans="1:43" ht="15" customHeight="1">
      <c r="D5" s="3" t="s">
        <v>83</v>
      </c>
      <c r="E5" s="3" t="s">
        <v>96</v>
      </c>
      <c r="J5" s="3">
        <v>1</v>
      </c>
    </row>
    <row r="6" spans="1:43" ht="15" customHeight="1">
      <c r="D6" s="3" t="s">
        <v>85</v>
      </c>
      <c r="E6" s="3" t="s">
        <v>97</v>
      </c>
      <c r="J6" s="3">
        <v>1</v>
      </c>
    </row>
    <row r="8" spans="1:43" ht="15" customHeight="1">
      <c r="D8" s="3" t="s">
        <v>86</v>
      </c>
      <c r="E8" s="3" t="s">
        <v>98</v>
      </c>
      <c r="J8" s="3">
        <v>1</v>
      </c>
    </row>
    <row r="9" spans="1:43" s="6" customFormat="1" ht="15" customHeight="1">
      <c r="E9" s="6" t="s">
        <v>99</v>
      </c>
      <c r="F9" s="6">
        <v>1</v>
      </c>
      <c r="J9" s="6">
        <v>1</v>
      </c>
      <c r="K9" s="6">
        <v>1</v>
      </c>
    </row>
    <row r="10" spans="1:43" ht="15" customHeight="1">
      <c r="D10" s="15"/>
      <c r="E10" s="15"/>
      <c r="F10" s="15"/>
      <c r="G10" s="15"/>
      <c r="H10" s="15"/>
      <c r="I10" s="15"/>
      <c r="J10" s="15"/>
      <c r="K10" s="15"/>
    </row>
    <row r="12" spans="1:43" s="6" customFormat="1" ht="15" customHeight="1">
      <c r="E12" s="6" t="s">
        <v>99</v>
      </c>
      <c r="F12" s="6">
        <v>2</v>
      </c>
      <c r="J12" s="6">
        <v>1</v>
      </c>
      <c r="K12" s="6">
        <v>1</v>
      </c>
    </row>
    <row r="13" spans="1:43" ht="15" customHeight="1">
      <c r="D13" s="3" t="s">
        <v>87</v>
      </c>
      <c r="E13" s="3">
        <v>2450</v>
      </c>
      <c r="F13" s="3">
        <v>22</v>
      </c>
      <c r="I13" s="8">
        <v>6490</v>
      </c>
      <c r="J13" s="3">
        <v>1</v>
      </c>
      <c r="M13" s="3" t="s">
        <v>93</v>
      </c>
      <c r="N13" s="3" t="s">
        <v>100</v>
      </c>
      <c r="P13" s="7" t="s">
        <v>94</v>
      </c>
      <c r="U13" s="3" t="s">
        <v>90</v>
      </c>
      <c r="V13" s="3" t="s">
        <v>91</v>
      </c>
      <c r="W13" s="3">
        <v>50</v>
      </c>
      <c r="X13" s="3" t="s">
        <v>102</v>
      </c>
      <c r="Y13" s="3">
        <v>50</v>
      </c>
      <c r="AG13" s="3" t="s">
        <v>88</v>
      </c>
      <c r="AH13" s="3" t="s">
        <v>88</v>
      </c>
    </row>
    <row r="14" spans="1:43" ht="15" customHeight="1">
      <c r="D14" s="3" t="s">
        <v>87</v>
      </c>
      <c r="E14" s="3">
        <v>2000</v>
      </c>
      <c r="F14" s="3">
        <v>19</v>
      </c>
      <c r="I14" s="8">
        <v>6490</v>
      </c>
      <c r="J14" s="3">
        <v>2</v>
      </c>
      <c r="M14" s="3" t="s">
        <v>93</v>
      </c>
      <c r="N14" s="3" t="s">
        <v>92</v>
      </c>
      <c r="P14" s="7" t="s">
        <v>94</v>
      </c>
      <c r="U14" s="3" t="s">
        <v>90</v>
      </c>
      <c r="V14" s="3" t="s">
        <v>91</v>
      </c>
      <c r="W14" s="3">
        <v>50</v>
      </c>
      <c r="X14" s="3" t="s">
        <v>102</v>
      </c>
      <c r="Y14" s="3">
        <v>50</v>
      </c>
      <c r="AG14" s="3" t="s">
        <v>88</v>
      </c>
      <c r="AH14" s="3" t="s">
        <v>88</v>
      </c>
    </row>
    <row r="15" spans="1:43" ht="15" customHeight="1">
      <c r="D15" s="3" t="s">
        <v>87</v>
      </c>
      <c r="E15" s="3">
        <v>2450</v>
      </c>
      <c r="F15" s="3">
        <v>22</v>
      </c>
      <c r="I15" s="8">
        <v>6490</v>
      </c>
      <c r="J15" s="3">
        <v>1</v>
      </c>
      <c r="M15" s="3" t="s">
        <v>93</v>
      </c>
      <c r="N15" s="3" t="s">
        <v>101</v>
      </c>
      <c r="P15" s="7" t="s">
        <v>94</v>
      </c>
      <c r="U15" s="3" t="s">
        <v>90</v>
      </c>
      <c r="V15" s="3" t="s">
        <v>91</v>
      </c>
      <c r="W15" s="3">
        <v>50</v>
      </c>
      <c r="X15" s="3" t="s">
        <v>102</v>
      </c>
      <c r="Y15" s="3">
        <v>50</v>
      </c>
      <c r="AG15" s="3" t="s">
        <v>88</v>
      </c>
      <c r="AH15" s="3" t="s">
        <v>88</v>
      </c>
    </row>
    <row r="16" spans="1:43" ht="15" customHeight="1">
      <c r="D16" s="3" t="s">
        <v>87</v>
      </c>
      <c r="E16" s="3">
        <v>220</v>
      </c>
      <c r="F16" s="3">
        <v>22</v>
      </c>
      <c r="I16" s="8">
        <f>$I$15-20</f>
        <v>6470</v>
      </c>
      <c r="J16" s="3">
        <v>4</v>
      </c>
      <c r="M16" s="3" t="s">
        <v>93</v>
      </c>
      <c r="N16" s="3" t="s">
        <v>103</v>
      </c>
      <c r="P16" s="7" t="s">
        <v>94</v>
      </c>
      <c r="U16" s="3" t="s">
        <v>90</v>
      </c>
      <c r="V16" s="3" t="s">
        <v>102</v>
      </c>
      <c r="W16" s="3">
        <v>100</v>
      </c>
      <c r="AG16" s="3" t="s">
        <v>88</v>
      </c>
      <c r="AH16" s="3" t="s">
        <v>88</v>
      </c>
    </row>
    <row r="17" spans="4:34" ht="15" customHeight="1">
      <c r="D17" s="3" t="s">
        <v>87</v>
      </c>
      <c r="E17" s="3">
        <v>220</v>
      </c>
      <c r="F17" s="3">
        <v>22</v>
      </c>
      <c r="I17" s="8">
        <f>$I$15-20</f>
        <v>6470</v>
      </c>
      <c r="J17" s="3">
        <v>4</v>
      </c>
      <c r="M17" s="3" t="s">
        <v>93</v>
      </c>
      <c r="N17" s="3" t="s">
        <v>104</v>
      </c>
      <c r="P17" s="7" t="s">
        <v>94</v>
      </c>
      <c r="U17" s="3" t="s">
        <v>90</v>
      </c>
      <c r="V17" s="3" t="s">
        <v>102</v>
      </c>
      <c r="W17" s="3">
        <v>100</v>
      </c>
      <c r="AG17" s="3" t="s">
        <v>88</v>
      </c>
      <c r="AH17" s="3" t="s">
        <v>88</v>
      </c>
    </row>
  </sheetData>
  <mergeCells count="18">
    <mergeCell ref="O1:O2"/>
    <mergeCell ref="P1:S1"/>
    <mergeCell ref="T1:Y1"/>
    <mergeCell ref="Z1:AC1"/>
    <mergeCell ref="AD1:AM1"/>
    <mergeCell ref="AN1:AQ1"/>
    <mergeCell ref="I1:I2"/>
    <mergeCell ref="J1:J2"/>
    <mergeCell ref="K1:K2"/>
    <mergeCell ref="L1:L2"/>
    <mergeCell ref="M1:M2"/>
    <mergeCell ref="N1:N2"/>
    <mergeCell ref="A1:A3"/>
    <mergeCell ref="D1:D2"/>
    <mergeCell ref="E1:E2"/>
    <mergeCell ref="F1:F2"/>
    <mergeCell ref="G1:G2"/>
    <mergeCell ref="H1:H2"/>
  </mergeCells>
  <phoneticPr fontId="3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3094-88F2-433D-9782-51FA937D7115}">
  <dimension ref="A1:AQ22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3.5703125" defaultRowHeight="15" customHeight="1"/>
  <cols>
    <col min="1" max="1" width="3.5703125" style="2"/>
    <col min="2" max="3" width="3.5703125" style="3"/>
    <col min="4" max="4" width="7.140625" style="3" customWidth="1"/>
    <col min="5" max="7" width="9.140625" style="3" customWidth="1"/>
    <col min="8" max="12" width="7.140625" style="3" customWidth="1"/>
    <col min="13" max="13" width="10.85546875" style="3" customWidth="1"/>
    <col min="14" max="19" width="7.140625" style="3" customWidth="1"/>
    <col min="20" max="25" width="5.85546875" style="3" customWidth="1"/>
    <col min="26" max="29" width="3.5703125" style="3"/>
    <col min="30" max="31" width="5.85546875" style="3" customWidth="1"/>
    <col min="32" max="39" width="7.140625" style="3" customWidth="1"/>
    <col min="40" max="43" width="5.85546875" style="3" customWidth="1"/>
    <col min="44" max="256" width="7.140625" style="3" customWidth="1"/>
    <col min="257" max="16384" width="3.5703125" style="3"/>
  </cols>
  <sheetData>
    <row r="1" spans="1:43" s="1" customFormat="1" ht="15" customHeight="1">
      <c r="A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/>
      <c r="R1" s="11"/>
      <c r="S1" s="11"/>
      <c r="T1" s="11" t="s">
        <v>14</v>
      </c>
      <c r="U1" s="11"/>
      <c r="V1" s="11"/>
      <c r="W1" s="11"/>
      <c r="X1" s="11"/>
      <c r="Y1" s="11"/>
      <c r="Z1" s="11" t="s">
        <v>15</v>
      </c>
      <c r="AA1" s="11"/>
      <c r="AB1" s="11"/>
      <c r="AC1" s="11"/>
      <c r="AD1" s="11" t="s">
        <v>16</v>
      </c>
      <c r="AE1" s="11"/>
      <c r="AF1" s="11"/>
      <c r="AG1" s="11"/>
      <c r="AH1" s="11"/>
      <c r="AI1" s="11"/>
      <c r="AJ1" s="11"/>
      <c r="AK1" s="11"/>
      <c r="AL1" s="11"/>
      <c r="AM1" s="11"/>
      <c r="AN1" s="11" t="s">
        <v>17</v>
      </c>
      <c r="AO1" s="11"/>
      <c r="AP1" s="11"/>
      <c r="AQ1" s="11"/>
    </row>
    <row r="2" spans="1:43" s="4" customFormat="1" ht="15" customHeight="1">
      <c r="A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0"/>
      <c r="B3" s="9" t="s">
        <v>89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D4" s="3" t="s">
        <v>82</v>
      </c>
      <c r="E4" s="3" t="s">
        <v>95</v>
      </c>
      <c r="J4" s="3">
        <v>1</v>
      </c>
    </row>
    <row r="5" spans="1:43" ht="15" customHeight="1">
      <c r="D5" s="3" t="s">
        <v>83</v>
      </c>
      <c r="E5" s="3" t="s">
        <v>125</v>
      </c>
      <c r="J5" s="3">
        <v>1</v>
      </c>
    </row>
    <row r="6" spans="1:43" ht="15" customHeight="1">
      <c r="D6" s="3" t="s">
        <v>84</v>
      </c>
      <c r="E6" s="3" t="s">
        <v>124</v>
      </c>
      <c r="J6" s="3">
        <v>1</v>
      </c>
    </row>
    <row r="7" spans="1:43" ht="15" customHeight="1">
      <c r="D7" s="3" t="s">
        <v>85</v>
      </c>
      <c r="E7" s="3" t="s">
        <v>123</v>
      </c>
      <c r="J7" s="3">
        <v>1</v>
      </c>
    </row>
    <row r="9" spans="1:43" ht="15" customHeight="1">
      <c r="D9" s="3" t="s">
        <v>86</v>
      </c>
      <c r="E9" s="3" t="s">
        <v>122</v>
      </c>
      <c r="J9" s="3">
        <v>1</v>
      </c>
    </row>
    <row r="10" spans="1:43" s="6" customFormat="1" ht="15" customHeight="1">
      <c r="E10" s="6" t="s">
        <v>112</v>
      </c>
      <c r="F10" s="6" t="s">
        <v>121</v>
      </c>
      <c r="J10" s="6">
        <v>6</v>
      </c>
      <c r="K10" s="6">
        <v>1</v>
      </c>
    </row>
    <row r="11" spans="1:43" ht="15" customHeight="1">
      <c r="D11" s="3" t="s">
        <v>87</v>
      </c>
      <c r="E11" s="3">
        <v>220</v>
      </c>
      <c r="F11" s="3">
        <v>16</v>
      </c>
      <c r="I11" s="13">
        <v>2200</v>
      </c>
      <c r="J11" s="3">
        <v>2</v>
      </c>
      <c r="M11" s="3" t="s">
        <v>93</v>
      </c>
      <c r="N11" s="3" t="s">
        <v>120</v>
      </c>
      <c r="P11" s="7" t="s">
        <v>94</v>
      </c>
      <c r="U11" s="3" t="s">
        <v>90</v>
      </c>
      <c r="V11" s="3" t="s">
        <v>91</v>
      </c>
      <c r="W11" s="3">
        <v>100</v>
      </c>
    </row>
    <row r="12" spans="1:43" ht="15" customHeight="1">
      <c r="D12" s="3" t="s">
        <v>87</v>
      </c>
      <c r="E12" s="3">
        <v>800</v>
      </c>
      <c r="F12" s="3">
        <v>10</v>
      </c>
      <c r="I12" s="8">
        <f>I11</f>
        <v>2200</v>
      </c>
      <c r="J12" s="3">
        <v>1</v>
      </c>
      <c r="M12" s="3" t="s">
        <v>93</v>
      </c>
      <c r="N12" s="3" t="s">
        <v>92</v>
      </c>
      <c r="P12" s="7" t="s">
        <v>94</v>
      </c>
      <c r="U12" s="3" t="s">
        <v>90</v>
      </c>
      <c r="V12" s="3" t="s">
        <v>91</v>
      </c>
      <c r="W12" s="3">
        <v>100</v>
      </c>
    </row>
    <row r="13" spans="1:43" ht="15" customHeight="1">
      <c r="D13" s="3" t="s">
        <v>107</v>
      </c>
      <c r="E13" s="3">
        <f>E12</f>
        <v>800</v>
      </c>
      <c r="I13" s="8">
        <v>80</v>
      </c>
      <c r="J13" s="3">
        <v>2</v>
      </c>
      <c r="U13" s="3" t="s">
        <v>90</v>
      </c>
      <c r="V13" s="3" t="s">
        <v>91</v>
      </c>
      <c r="W13" s="3">
        <v>-100</v>
      </c>
    </row>
    <row r="14" spans="1:43" ht="15" customHeight="1">
      <c r="D14" s="3" t="s">
        <v>107</v>
      </c>
      <c r="E14" s="3">
        <f>E13</f>
        <v>800</v>
      </c>
      <c r="I14" s="8">
        <v>80</v>
      </c>
      <c r="J14" s="3">
        <v>2</v>
      </c>
      <c r="U14" s="3" t="s">
        <v>90</v>
      </c>
      <c r="V14" s="3" t="s">
        <v>106</v>
      </c>
      <c r="W14" s="3">
        <v>100</v>
      </c>
    </row>
    <row r="15" spans="1:43" ht="15" customHeight="1">
      <c r="D15" s="3" t="s">
        <v>87</v>
      </c>
      <c r="E15" s="3">
        <v>120</v>
      </c>
      <c r="F15" s="3">
        <v>12</v>
      </c>
      <c r="I15" s="8">
        <v>200</v>
      </c>
      <c r="J15" s="3">
        <v>3</v>
      </c>
      <c r="M15" s="3" t="s">
        <v>119</v>
      </c>
      <c r="N15" s="3" t="s">
        <v>118</v>
      </c>
      <c r="P15" s="7" t="s">
        <v>108</v>
      </c>
      <c r="U15" s="3" t="s">
        <v>90</v>
      </c>
      <c r="V15" s="3" t="s">
        <v>91</v>
      </c>
      <c r="W15" s="3">
        <v>100</v>
      </c>
    </row>
    <row r="16" spans="1:43" ht="15" customHeight="1">
      <c r="D16" s="3" t="s">
        <v>117</v>
      </c>
      <c r="E16" s="3">
        <v>22</v>
      </c>
      <c r="I16" s="3">
        <v>55</v>
      </c>
      <c r="J16" s="3">
        <v>16</v>
      </c>
      <c r="M16" s="3" t="s">
        <v>116</v>
      </c>
      <c r="N16" s="3" t="s">
        <v>115</v>
      </c>
      <c r="P16" s="12" t="s">
        <v>114</v>
      </c>
      <c r="U16" s="3" t="s">
        <v>90</v>
      </c>
      <c r="V16" s="3" t="s">
        <v>113</v>
      </c>
      <c r="W16" s="3">
        <v>100</v>
      </c>
    </row>
    <row r="17" spans="4:23" ht="15" customHeight="1">
      <c r="D17" s="3" t="s">
        <v>105</v>
      </c>
    </row>
    <row r="19" spans="4:23" s="6" customFormat="1" ht="15" customHeight="1">
      <c r="E19" s="6" t="s">
        <v>112</v>
      </c>
      <c r="F19" s="6" t="s">
        <v>111</v>
      </c>
      <c r="J19" s="6">
        <v>6</v>
      </c>
      <c r="K19" s="6">
        <v>2</v>
      </c>
    </row>
    <row r="20" spans="4:23" ht="15" customHeight="1">
      <c r="D20" s="15"/>
      <c r="E20" s="15"/>
      <c r="F20" s="15"/>
      <c r="G20" s="15"/>
      <c r="H20" s="15"/>
      <c r="I20" s="15"/>
      <c r="J20" s="15"/>
      <c r="K20" s="15"/>
    </row>
    <row r="21" spans="4:23" ht="15" customHeight="1">
      <c r="D21" s="3" t="s">
        <v>107</v>
      </c>
      <c r="E21" s="3">
        <v>80</v>
      </c>
      <c r="I21" s="3">
        <v>640</v>
      </c>
      <c r="J21" s="3">
        <v>1</v>
      </c>
      <c r="U21" s="3" t="s">
        <v>90</v>
      </c>
      <c r="V21" s="3" t="s">
        <v>106</v>
      </c>
      <c r="W21" s="3">
        <v>100</v>
      </c>
    </row>
    <row r="22" spans="4:23" ht="15" customHeight="1">
      <c r="D22" s="3" t="s">
        <v>105</v>
      </c>
    </row>
  </sheetData>
  <mergeCells count="18">
    <mergeCell ref="O1:O2"/>
    <mergeCell ref="P1:S1"/>
    <mergeCell ref="T1:Y1"/>
    <mergeCell ref="Z1:AC1"/>
    <mergeCell ref="AD1:AM1"/>
    <mergeCell ref="AN1:AQ1"/>
    <mergeCell ref="I1:I2"/>
    <mergeCell ref="J1:J2"/>
    <mergeCell ref="K1:K2"/>
    <mergeCell ref="L1:L2"/>
    <mergeCell ref="M1:M2"/>
    <mergeCell ref="N1:N2"/>
    <mergeCell ref="A1:A3"/>
    <mergeCell ref="D1:D2"/>
    <mergeCell ref="E1:E2"/>
    <mergeCell ref="F1:F2"/>
    <mergeCell ref="G1:G2"/>
    <mergeCell ref="H1:H2"/>
  </mergeCells>
  <phoneticPr fontId="3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08AB-F465-417F-AC3B-D3B9D05CCFAF}">
  <dimension ref="A1:AQ23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3.5703125" defaultRowHeight="15" customHeight="1"/>
  <cols>
    <col min="1" max="1" width="3.5703125" style="2"/>
    <col min="2" max="3" width="3.5703125" style="3"/>
    <col min="4" max="4" width="7.140625" style="3" customWidth="1"/>
    <col min="5" max="7" width="9.140625" style="3" customWidth="1"/>
    <col min="8" max="12" width="7.140625" style="3" customWidth="1"/>
    <col min="13" max="13" width="10.85546875" style="3" customWidth="1"/>
    <col min="14" max="19" width="7.140625" style="3" customWidth="1"/>
    <col min="20" max="25" width="5.85546875" style="3" customWidth="1"/>
    <col min="26" max="29" width="3.5703125" style="3"/>
    <col min="30" max="31" width="5.85546875" style="3" customWidth="1"/>
    <col min="32" max="39" width="7.140625" style="3" customWidth="1"/>
    <col min="40" max="43" width="5.85546875" style="3" customWidth="1"/>
    <col min="44" max="256" width="7.140625" style="3" customWidth="1"/>
    <col min="257" max="16384" width="3.5703125" style="3"/>
  </cols>
  <sheetData>
    <row r="1" spans="1:43" s="1" customFormat="1" ht="15" customHeight="1">
      <c r="A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/>
      <c r="R1" s="11"/>
      <c r="S1" s="11"/>
      <c r="T1" s="11" t="s">
        <v>14</v>
      </c>
      <c r="U1" s="11"/>
      <c r="V1" s="11"/>
      <c r="W1" s="11"/>
      <c r="X1" s="11"/>
      <c r="Y1" s="11"/>
      <c r="Z1" s="11" t="s">
        <v>15</v>
      </c>
      <c r="AA1" s="11"/>
      <c r="AB1" s="11"/>
      <c r="AC1" s="11"/>
      <c r="AD1" s="11" t="s">
        <v>16</v>
      </c>
      <c r="AE1" s="11"/>
      <c r="AF1" s="11"/>
      <c r="AG1" s="11"/>
      <c r="AH1" s="11"/>
      <c r="AI1" s="11"/>
      <c r="AJ1" s="11"/>
      <c r="AK1" s="11"/>
      <c r="AL1" s="11"/>
      <c r="AM1" s="11"/>
      <c r="AN1" s="11" t="s">
        <v>17</v>
      </c>
      <c r="AO1" s="11"/>
      <c r="AP1" s="11"/>
      <c r="AQ1" s="11"/>
    </row>
    <row r="2" spans="1:43" s="4" customFormat="1" ht="15" customHeight="1">
      <c r="A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0"/>
      <c r="B3" s="9" t="s">
        <v>89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D4" s="3" t="s">
        <v>82</v>
      </c>
      <c r="E4" s="3" t="s">
        <v>95</v>
      </c>
      <c r="J4" s="3">
        <v>1</v>
      </c>
    </row>
    <row r="5" spans="1:43" ht="15" customHeight="1">
      <c r="D5" s="3" t="s">
        <v>83</v>
      </c>
      <c r="E5" s="3" t="s">
        <v>125</v>
      </c>
      <c r="J5" s="3">
        <v>1</v>
      </c>
    </row>
    <row r="6" spans="1:43" ht="15" customHeight="1">
      <c r="D6" s="3" t="s">
        <v>84</v>
      </c>
      <c r="E6" s="3" t="s">
        <v>124</v>
      </c>
      <c r="J6" s="3">
        <v>1</v>
      </c>
    </row>
    <row r="7" spans="1:43" ht="15" customHeight="1">
      <c r="D7" s="3" t="s">
        <v>85</v>
      </c>
      <c r="E7" s="3" t="s">
        <v>123</v>
      </c>
      <c r="J7" s="3">
        <v>1</v>
      </c>
    </row>
    <row r="9" spans="1:43" ht="15" customHeight="1">
      <c r="D9" s="3" t="s">
        <v>86</v>
      </c>
      <c r="E9" s="3" t="s">
        <v>122</v>
      </c>
      <c r="J9" s="3">
        <v>1</v>
      </c>
    </row>
    <row r="10" spans="1:43" s="6" customFormat="1" ht="15" customHeight="1">
      <c r="E10" s="6" t="s">
        <v>112</v>
      </c>
      <c r="F10" s="6" t="s">
        <v>121</v>
      </c>
      <c r="J10" s="14"/>
      <c r="K10" s="6">
        <v>1</v>
      </c>
    </row>
    <row r="11" spans="1:43" ht="15" customHeight="1">
      <c r="D11" s="3" t="s">
        <v>87</v>
      </c>
      <c r="E11" s="3">
        <v>220</v>
      </c>
      <c r="F11" s="3">
        <v>16</v>
      </c>
      <c r="I11" s="13">
        <v>2200</v>
      </c>
      <c r="J11" s="3">
        <v>2</v>
      </c>
      <c r="M11" s="3" t="s">
        <v>93</v>
      </c>
      <c r="N11" s="3" t="s">
        <v>120</v>
      </c>
      <c r="P11" s="7" t="s">
        <v>94</v>
      </c>
      <c r="U11" s="3" t="s">
        <v>90</v>
      </c>
      <c r="V11" s="3" t="s">
        <v>91</v>
      </c>
      <c r="W11" s="3">
        <v>100</v>
      </c>
    </row>
    <row r="12" spans="1:43" ht="15" customHeight="1">
      <c r="D12" s="3" t="s">
        <v>87</v>
      </c>
      <c r="E12" s="3">
        <v>800</v>
      </c>
      <c r="F12" s="3">
        <v>10</v>
      </c>
      <c r="I12" s="8">
        <f>I11</f>
        <v>2200</v>
      </c>
      <c r="J12" s="3">
        <v>1</v>
      </c>
      <c r="M12" s="3" t="s">
        <v>93</v>
      </c>
      <c r="N12" s="3" t="s">
        <v>92</v>
      </c>
      <c r="P12" s="7" t="s">
        <v>94</v>
      </c>
      <c r="U12" s="3" t="s">
        <v>90</v>
      </c>
      <c r="V12" s="3" t="s">
        <v>91</v>
      </c>
      <c r="W12" s="3">
        <v>100</v>
      </c>
    </row>
    <row r="13" spans="1:43" ht="15" customHeight="1">
      <c r="D13" s="3" t="s">
        <v>107</v>
      </c>
      <c r="E13" s="3">
        <f>E12</f>
        <v>800</v>
      </c>
      <c r="I13" s="8">
        <v>80</v>
      </c>
      <c r="J13" s="3">
        <v>2</v>
      </c>
      <c r="U13" s="3" t="s">
        <v>90</v>
      </c>
      <c r="V13" s="3" t="s">
        <v>91</v>
      </c>
      <c r="W13" s="3">
        <v>-100</v>
      </c>
    </row>
    <row r="14" spans="1:43" ht="15" customHeight="1">
      <c r="D14" s="3" t="s">
        <v>107</v>
      </c>
      <c r="E14" s="3">
        <f>E13</f>
        <v>800</v>
      </c>
      <c r="I14" s="8">
        <v>80</v>
      </c>
      <c r="J14" s="3">
        <v>2</v>
      </c>
      <c r="U14" s="3" t="s">
        <v>90</v>
      </c>
      <c r="V14" s="3" t="s">
        <v>106</v>
      </c>
      <c r="W14" s="3">
        <v>100</v>
      </c>
    </row>
    <row r="15" spans="1:43" ht="15" customHeight="1">
      <c r="D15" s="3" t="s">
        <v>87</v>
      </c>
      <c r="E15" s="3">
        <v>120</v>
      </c>
      <c r="F15" s="3">
        <v>12</v>
      </c>
      <c r="I15" s="8">
        <v>200</v>
      </c>
      <c r="J15" s="3">
        <v>3</v>
      </c>
      <c r="M15" s="3" t="s">
        <v>119</v>
      </c>
      <c r="N15" s="3" t="s">
        <v>118</v>
      </c>
      <c r="P15" s="7" t="s">
        <v>108</v>
      </c>
      <c r="U15" s="3" t="s">
        <v>90</v>
      </c>
      <c r="V15" s="3" t="s">
        <v>91</v>
      </c>
      <c r="W15" s="3">
        <v>100</v>
      </c>
    </row>
    <row r="16" spans="1:43" ht="15" customHeight="1">
      <c r="D16" s="3" t="s">
        <v>117</v>
      </c>
      <c r="E16" s="3">
        <v>22</v>
      </c>
      <c r="I16" s="3">
        <v>55</v>
      </c>
      <c r="J16" s="3">
        <v>16</v>
      </c>
      <c r="M16" s="3" t="s">
        <v>116</v>
      </c>
      <c r="N16" s="3" t="s">
        <v>115</v>
      </c>
      <c r="P16" s="12" t="s">
        <v>114</v>
      </c>
      <c r="U16" s="3" t="s">
        <v>90</v>
      </c>
      <c r="V16" s="3" t="s">
        <v>113</v>
      </c>
      <c r="W16" s="3">
        <v>100</v>
      </c>
    </row>
    <row r="17" spans="4:23" ht="15" customHeight="1">
      <c r="D17" s="3" t="s">
        <v>105</v>
      </c>
    </row>
    <row r="19" spans="4:23" s="6" customFormat="1" ht="15" customHeight="1">
      <c r="E19" s="6" t="s">
        <v>112</v>
      </c>
      <c r="F19" s="6" t="s">
        <v>111</v>
      </c>
      <c r="J19" s="6">
        <v>6</v>
      </c>
      <c r="K19" s="6">
        <v>2</v>
      </c>
    </row>
    <row r="20" spans="4:23" ht="15" customHeight="1">
      <c r="D20" s="3" t="s">
        <v>87</v>
      </c>
      <c r="E20" s="3">
        <v>160</v>
      </c>
      <c r="F20" s="3">
        <v>9</v>
      </c>
      <c r="I20" s="3">
        <v>640</v>
      </c>
      <c r="J20" s="3">
        <v>1</v>
      </c>
      <c r="M20" s="3" t="s">
        <v>110</v>
      </c>
      <c r="N20" s="3" t="s">
        <v>109</v>
      </c>
      <c r="P20" s="7" t="s">
        <v>108</v>
      </c>
      <c r="U20" s="3" t="s">
        <v>90</v>
      </c>
      <c r="V20" s="3" t="s">
        <v>91</v>
      </c>
      <c r="W20" s="3">
        <v>100</v>
      </c>
    </row>
    <row r="21" spans="4:23" ht="15" customHeight="1">
      <c r="D21" s="3" t="s">
        <v>107</v>
      </c>
      <c r="E21" s="3">
        <v>80</v>
      </c>
      <c r="I21" s="8">
        <f>I20</f>
        <v>640</v>
      </c>
      <c r="J21" s="3">
        <v>1</v>
      </c>
      <c r="U21" s="3" t="s">
        <v>90</v>
      </c>
      <c r="V21" s="3" t="s">
        <v>91</v>
      </c>
      <c r="W21" s="3">
        <v>-100</v>
      </c>
    </row>
    <row r="22" spans="4:23" ht="15" customHeight="1">
      <c r="D22" s="3" t="s">
        <v>107</v>
      </c>
      <c r="E22" s="3">
        <v>80</v>
      </c>
      <c r="I22" s="8">
        <f>I21</f>
        <v>640</v>
      </c>
      <c r="J22" s="3">
        <v>1</v>
      </c>
      <c r="U22" s="3" t="s">
        <v>90</v>
      </c>
      <c r="V22" s="3" t="s">
        <v>106</v>
      </c>
      <c r="W22" s="3">
        <v>100</v>
      </c>
    </row>
    <row r="23" spans="4:23" ht="15" customHeight="1">
      <c r="D23" s="3" t="s">
        <v>105</v>
      </c>
    </row>
  </sheetData>
  <mergeCells count="18">
    <mergeCell ref="O1:O2"/>
    <mergeCell ref="P1:S1"/>
    <mergeCell ref="T1:Y1"/>
    <mergeCell ref="Z1:AC1"/>
    <mergeCell ref="AD1:AM1"/>
    <mergeCell ref="AN1:AQ1"/>
    <mergeCell ref="I1:I2"/>
    <mergeCell ref="J1:J2"/>
    <mergeCell ref="K1:K2"/>
    <mergeCell ref="L1:L2"/>
    <mergeCell ref="M1:M2"/>
    <mergeCell ref="N1:N2"/>
    <mergeCell ref="A1:A3"/>
    <mergeCell ref="D1:D2"/>
    <mergeCell ref="E1:E2"/>
    <mergeCell ref="F1:F2"/>
    <mergeCell ref="G1:G2"/>
    <mergeCell ref="H1:H2"/>
  </mergeCells>
  <phoneticPr fontId="3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C096-CD17-435D-9710-243E0C2EC835}">
  <dimension ref="A1:AQ23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defaultColWidth="3.5703125" defaultRowHeight="12"/>
  <cols>
    <col min="1" max="1" width="3.5703125" style="2"/>
    <col min="2" max="3" width="3.5703125" style="3"/>
    <col min="4" max="4" width="7.140625" style="3" customWidth="1"/>
    <col min="5" max="7" width="9.140625" style="3" customWidth="1"/>
    <col min="8" max="12" width="7.140625" style="3" customWidth="1"/>
    <col min="13" max="13" width="10.85546875" style="3" customWidth="1"/>
    <col min="14" max="19" width="7.140625" style="3" customWidth="1"/>
    <col min="20" max="25" width="5.85546875" style="3" customWidth="1"/>
    <col min="26" max="29" width="3.5703125" style="3"/>
    <col min="30" max="31" width="5.85546875" style="3" customWidth="1"/>
    <col min="32" max="39" width="7.140625" style="3" customWidth="1"/>
    <col min="40" max="43" width="5.85546875" style="3" customWidth="1"/>
    <col min="44" max="256" width="7.140625" style="3" customWidth="1"/>
    <col min="257" max="16384" width="3.5703125" style="3"/>
  </cols>
  <sheetData>
    <row r="1" spans="1:43" s="1" customFormat="1" ht="15" customHeight="1">
      <c r="A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/>
      <c r="R1" s="11"/>
      <c r="S1" s="11"/>
      <c r="T1" s="11" t="s">
        <v>14</v>
      </c>
      <c r="U1" s="11"/>
      <c r="V1" s="11"/>
      <c r="W1" s="11"/>
      <c r="X1" s="11"/>
      <c r="Y1" s="11"/>
      <c r="Z1" s="11" t="s">
        <v>15</v>
      </c>
      <c r="AA1" s="11"/>
      <c r="AB1" s="11"/>
      <c r="AC1" s="11"/>
      <c r="AD1" s="11" t="s">
        <v>16</v>
      </c>
      <c r="AE1" s="11"/>
      <c r="AF1" s="11"/>
      <c r="AG1" s="11"/>
      <c r="AH1" s="11"/>
      <c r="AI1" s="11"/>
      <c r="AJ1" s="11"/>
      <c r="AK1" s="11"/>
      <c r="AL1" s="11"/>
      <c r="AM1" s="11"/>
      <c r="AN1" s="11" t="s">
        <v>17</v>
      </c>
      <c r="AO1" s="11"/>
      <c r="AP1" s="11"/>
      <c r="AQ1" s="11"/>
    </row>
    <row r="2" spans="1:43" s="4" customFormat="1" ht="15" customHeight="1">
      <c r="A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0"/>
      <c r="B3" s="9" t="s">
        <v>89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D4" s="3" t="s">
        <v>82</v>
      </c>
      <c r="E4" s="3" t="s">
        <v>95</v>
      </c>
      <c r="J4" s="3">
        <v>1</v>
      </c>
    </row>
    <row r="5" spans="1:43" ht="15" customHeight="1">
      <c r="D5" s="3" t="s">
        <v>83</v>
      </c>
      <c r="E5" s="3" t="s">
        <v>125</v>
      </c>
      <c r="J5" s="3">
        <v>1</v>
      </c>
    </row>
    <row r="6" spans="1:43" ht="15" customHeight="1">
      <c r="D6" s="3" t="s">
        <v>84</v>
      </c>
      <c r="E6" s="3" t="s">
        <v>124</v>
      </c>
      <c r="J6" s="3">
        <v>1</v>
      </c>
    </row>
    <row r="7" spans="1:43" ht="15" customHeight="1">
      <c r="D7" s="3" t="s">
        <v>85</v>
      </c>
      <c r="E7" s="3" t="s">
        <v>123</v>
      </c>
      <c r="J7" s="3">
        <v>1</v>
      </c>
    </row>
    <row r="9" spans="1:43" ht="15" customHeight="1">
      <c r="D9" s="3" t="s">
        <v>86</v>
      </c>
      <c r="E9" s="3" t="s">
        <v>122</v>
      </c>
      <c r="J9" s="3">
        <v>1</v>
      </c>
    </row>
    <row r="10" spans="1:43" s="6" customFormat="1" ht="15" customHeight="1">
      <c r="E10" s="6" t="s">
        <v>112</v>
      </c>
      <c r="F10" s="6" t="s">
        <v>121</v>
      </c>
      <c r="J10" s="6">
        <v>6</v>
      </c>
      <c r="K10" s="6">
        <v>1</v>
      </c>
    </row>
    <row r="11" spans="1:43" ht="15" customHeight="1">
      <c r="D11" s="3" t="s">
        <v>87</v>
      </c>
      <c r="E11" s="3">
        <v>220</v>
      </c>
      <c r="F11" s="3">
        <v>16</v>
      </c>
      <c r="I11" s="13">
        <v>2200</v>
      </c>
      <c r="J11" s="3">
        <v>2</v>
      </c>
      <c r="M11" s="3" t="s">
        <v>93</v>
      </c>
      <c r="N11" s="3" t="s">
        <v>120</v>
      </c>
      <c r="P11" s="7" t="s">
        <v>94</v>
      </c>
      <c r="U11" s="3" t="s">
        <v>90</v>
      </c>
      <c r="V11" s="3" t="s">
        <v>91</v>
      </c>
      <c r="W11" s="3">
        <v>100</v>
      </c>
    </row>
    <row r="12" spans="1:43" ht="15" customHeight="1">
      <c r="D12" s="3" t="s">
        <v>87</v>
      </c>
      <c r="E12" s="3">
        <v>800</v>
      </c>
      <c r="F12" s="3">
        <v>10</v>
      </c>
      <c r="I12" s="8">
        <f>I11</f>
        <v>2200</v>
      </c>
      <c r="J12" s="3">
        <v>1</v>
      </c>
      <c r="M12" s="3" t="s">
        <v>93</v>
      </c>
      <c r="N12" s="3" t="s">
        <v>92</v>
      </c>
      <c r="P12" s="7" t="s">
        <v>94</v>
      </c>
      <c r="U12" s="3" t="s">
        <v>90</v>
      </c>
      <c r="V12" s="3" t="s">
        <v>91</v>
      </c>
      <c r="W12" s="3">
        <v>100</v>
      </c>
    </row>
    <row r="13" spans="1:43" ht="15" customHeight="1">
      <c r="D13" s="3" t="s">
        <v>107</v>
      </c>
      <c r="E13" s="3">
        <f>E12</f>
        <v>800</v>
      </c>
      <c r="I13" s="8">
        <v>80</v>
      </c>
      <c r="J13" s="3">
        <v>2</v>
      </c>
      <c r="U13" s="3" t="s">
        <v>90</v>
      </c>
      <c r="V13" s="3" t="s">
        <v>91</v>
      </c>
      <c r="W13" s="3">
        <v>-100</v>
      </c>
    </row>
    <row r="14" spans="1:43" ht="15" customHeight="1">
      <c r="D14" s="3" t="s">
        <v>107</v>
      </c>
      <c r="E14" s="3">
        <f>E13</f>
        <v>800</v>
      </c>
      <c r="I14" s="8">
        <v>80</v>
      </c>
      <c r="J14" s="3">
        <v>2</v>
      </c>
      <c r="U14" s="3" t="s">
        <v>90</v>
      </c>
      <c r="V14" s="3" t="s">
        <v>106</v>
      </c>
      <c r="W14" s="3">
        <v>100</v>
      </c>
    </row>
    <row r="15" spans="1:43" ht="15" customHeight="1">
      <c r="D15" s="3" t="s">
        <v>87</v>
      </c>
      <c r="E15" s="3">
        <v>120</v>
      </c>
      <c r="F15" s="3">
        <v>12</v>
      </c>
      <c r="I15" s="8">
        <v>200</v>
      </c>
      <c r="J15" s="3">
        <v>3</v>
      </c>
      <c r="M15" s="3" t="s">
        <v>119</v>
      </c>
      <c r="N15" s="3" t="s">
        <v>118</v>
      </c>
      <c r="P15" s="7" t="s">
        <v>108</v>
      </c>
      <c r="U15" s="3" t="s">
        <v>90</v>
      </c>
      <c r="V15" s="3" t="s">
        <v>91</v>
      </c>
      <c r="W15" s="3">
        <v>100</v>
      </c>
    </row>
    <row r="16" spans="1:43" ht="15" customHeight="1">
      <c r="D16" s="3" t="s">
        <v>117</v>
      </c>
      <c r="E16" s="3">
        <v>22</v>
      </c>
      <c r="I16" s="3">
        <v>55</v>
      </c>
      <c r="J16" s="3">
        <v>16</v>
      </c>
      <c r="M16" s="3" t="s">
        <v>116</v>
      </c>
      <c r="N16" s="3" t="s">
        <v>115</v>
      </c>
      <c r="P16" s="12" t="s">
        <v>114</v>
      </c>
      <c r="U16" s="3" t="s">
        <v>90</v>
      </c>
      <c r="V16" s="3" t="s">
        <v>113</v>
      </c>
      <c r="W16" s="3">
        <v>100</v>
      </c>
    </row>
    <row r="17" spans="4:23" ht="15" customHeight="1">
      <c r="D17" s="3" t="s">
        <v>105</v>
      </c>
    </row>
    <row r="18" spans="4:23" ht="15" customHeight="1"/>
    <row r="19" spans="4:23" s="6" customFormat="1" ht="15" customHeight="1">
      <c r="E19" s="6" t="s">
        <v>112</v>
      </c>
      <c r="F19" s="6" t="s">
        <v>111</v>
      </c>
      <c r="J19" s="6">
        <v>6</v>
      </c>
      <c r="K19" s="6">
        <v>2</v>
      </c>
    </row>
    <row r="20" spans="4:23" ht="15" customHeight="1">
      <c r="D20" s="3" t="s">
        <v>87</v>
      </c>
      <c r="E20" s="3">
        <v>160</v>
      </c>
      <c r="F20" s="3">
        <v>9</v>
      </c>
      <c r="I20" s="3">
        <v>640</v>
      </c>
      <c r="J20" s="3">
        <v>1</v>
      </c>
      <c r="M20" s="3" t="s">
        <v>110</v>
      </c>
      <c r="N20" s="3" t="s">
        <v>109</v>
      </c>
      <c r="P20" s="7" t="s">
        <v>108</v>
      </c>
      <c r="U20" s="3" t="s">
        <v>90</v>
      </c>
      <c r="V20" s="3" t="s">
        <v>91</v>
      </c>
      <c r="W20" s="3">
        <v>100</v>
      </c>
    </row>
    <row r="21" spans="4:23" ht="15" customHeight="1">
      <c r="D21" s="3" t="s">
        <v>107</v>
      </c>
      <c r="E21" s="3">
        <v>80</v>
      </c>
      <c r="I21" s="8">
        <f>I20</f>
        <v>640</v>
      </c>
      <c r="J21" s="3">
        <v>1</v>
      </c>
      <c r="U21" s="3" t="s">
        <v>90</v>
      </c>
      <c r="V21" s="3" t="s">
        <v>91</v>
      </c>
      <c r="W21" s="3">
        <v>-100</v>
      </c>
    </row>
    <row r="22" spans="4:23" ht="15" customHeight="1">
      <c r="D22" s="3" t="s">
        <v>107</v>
      </c>
      <c r="E22" s="3">
        <v>80</v>
      </c>
      <c r="I22" s="8">
        <f>I21</f>
        <v>640</v>
      </c>
      <c r="J22" s="3">
        <v>1</v>
      </c>
      <c r="U22" s="3" t="s">
        <v>90</v>
      </c>
      <c r="V22" s="3" t="s">
        <v>106</v>
      </c>
      <c r="W22" s="3">
        <v>100</v>
      </c>
    </row>
    <row r="23" spans="4:23" ht="15" customHeight="1">
      <c r="D23" s="3" t="s">
        <v>105</v>
      </c>
    </row>
  </sheetData>
  <mergeCells count="18">
    <mergeCell ref="Z1:AC1"/>
    <mergeCell ref="AD1:AM1"/>
    <mergeCell ref="H1:H2"/>
    <mergeCell ref="A1:A3"/>
    <mergeCell ref="D1:D2"/>
    <mergeCell ref="E1:E2"/>
    <mergeCell ref="F1:F2"/>
    <mergeCell ref="G1:G2"/>
    <mergeCell ref="AN1:AQ1"/>
    <mergeCell ref="I1:I2"/>
    <mergeCell ref="J1:J2"/>
    <mergeCell ref="K1:K2"/>
    <mergeCell ref="L1:L2"/>
    <mergeCell ref="M1:M2"/>
    <mergeCell ref="N1:N2"/>
    <mergeCell ref="O1:O2"/>
    <mergeCell ref="P1:S1"/>
    <mergeCell ref="T1:Y1"/>
  </mergeCells>
  <phoneticPr fontId="3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1222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#1階層が存在しないシート</vt:lpstr>
      <vt:lpstr>#3階層が存在しないシート</vt:lpstr>
      <vt:lpstr>DETAIL階層が存在しないシート (1)</vt:lpstr>
      <vt:lpstr>DETAIL階層が存在しないシート (2)</vt:lpstr>
      <vt:lpstr>BLOCK員数が不正なシート</vt:lpstr>
      <vt:lpstr>正常なシート</vt:lpstr>
      <vt:lpstr>'#1階層が存在しないシート'!Print_Area</vt:lpstr>
      <vt:lpstr>'#3階層が存在しないシート'!Print_Area</vt:lpstr>
      <vt:lpstr>BLOCK員数が不正なシート!Print_Area</vt:lpstr>
      <vt:lpstr>'DETAIL階層が存在しないシート (1)'!Print_Area</vt:lpstr>
      <vt:lpstr>'DETAIL階層が存在しないシート (2)'!Print_Area</vt:lpstr>
      <vt:lpstr>正常なシート!Print_Area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エス・エス・ティー 有限会社</dc:creator>
  <dc:description/>
  <cp:lastModifiedBy>貴大 金沢</cp:lastModifiedBy>
  <cp:revision>3</cp:revision>
  <dcterms:created xsi:type="dcterms:W3CDTF">2023-07-10T05:37:57Z</dcterms:created>
  <dcterms:modified xsi:type="dcterms:W3CDTF">2026-02-09T08:35:20Z</dcterms:modified>
  <dc:language>ja-JP</dc:language>
</cp:coreProperties>
</file>